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ph\Desktop\"/>
    </mc:Choice>
  </mc:AlternateContent>
  <xr:revisionPtr revIDLastSave="0" documentId="13_ncr:1_{7492E64D-2A36-4DD7-8D69-8787632C280C}" xr6:coauthVersionLast="47" xr6:coauthVersionMax="47" xr10:uidLastSave="{00000000-0000-0000-0000-000000000000}"/>
  <bookViews>
    <workbookView xWindow="5760" yWindow="3360" windowWidth="17280" windowHeight="8880" tabRatio="500" activeTab="1" xr2:uid="{00000000-000D-0000-FFFF-FFFF00000000}"/>
  </bookViews>
  <sheets>
    <sheet name="Cover Page" sheetId="1" r:id="rId1"/>
    <sheet name="DCF Model" sheetId="2" r:id="rId2"/>
    <sheet name="Sensitiv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1" i="2" l="1"/>
  <c r="D54" i="2"/>
  <c r="D44" i="2"/>
  <c r="D42" i="2"/>
  <c r="D41" i="2"/>
  <c r="D40" i="2"/>
  <c r="D34" i="2"/>
  <c r="D31" i="2"/>
  <c r="D28" i="2"/>
  <c r="D27" i="2"/>
  <c r="C79" i="2"/>
  <c r="C77" i="2"/>
  <c r="C70" i="2"/>
  <c r="H61" i="2"/>
  <c r="G61" i="2"/>
  <c r="F61" i="2"/>
  <c r="E61" i="2"/>
  <c r="D61" i="2"/>
  <c r="D55" i="2"/>
  <c r="D43" i="2"/>
  <c r="D53" i="2"/>
  <c r="H40" i="2"/>
  <c r="G40" i="2"/>
  <c r="F40" i="2"/>
  <c r="E40" i="2"/>
  <c r="H35" i="2"/>
  <c r="G35" i="2"/>
  <c r="H34" i="2"/>
  <c r="G34" i="2"/>
  <c r="F34" i="2"/>
  <c r="F35" i="2" s="1"/>
  <c r="E34" i="2"/>
  <c r="E35" i="2" s="1"/>
  <c r="D35" i="2"/>
  <c r="H31" i="2"/>
  <c r="G31" i="2"/>
  <c r="F31" i="2"/>
  <c r="E31" i="2"/>
  <c r="H27" i="2"/>
  <c r="H28" i="2" s="1"/>
  <c r="G27" i="2"/>
  <c r="G28" i="2" s="1"/>
  <c r="F27" i="2"/>
  <c r="F28" i="2" s="1"/>
  <c r="E27" i="2"/>
  <c r="E28" i="2" s="1"/>
  <c r="D50" i="2" l="1"/>
  <c r="D45" i="2"/>
  <c r="E41" i="2"/>
  <c r="D46" i="2"/>
  <c r="E44" i="2" l="1"/>
  <c r="E53" i="2" s="1"/>
  <c r="E54" i="2"/>
  <c r="F41" i="2"/>
  <c r="E55" i="2"/>
  <c r="E42" i="2"/>
  <c r="D52" i="2"/>
  <c r="D56" i="2" s="1"/>
  <c r="D62" i="2" s="1"/>
  <c r="E45" i="2" l="1"/>
  <c r="E46" i="2" s="1"/>
  <c r="E50" i="2"/>
  <c r="F54" i="2"/>
  <c r="G41" i="2"/>
  <c r="F43" i="2"/>
  <c r="F55" i="2"/>
  <c r="F42" i="2"/>
  <c r="F44" i="2"/>
  <c r="F53" i="2" s="1"/>
  <c r="E43" i="2"/>
  <c r="F45" i="2" l="1"/>
  <c r="F46" i="2" s="1"/>
  <c r="F50" i="2"/>
  <c r="H41" i="2"/>
  <c r="G55" i="2"/>
  <c r="G42" i="2"/>
  <c r="G43" i="2" s="1"/>
  <c r="G44" i="2"/>
  <c r="G53" i="2" s="1"/>
  <c r="G54" i="2"/>
  <c r="E51" i="2"/>
  <c r="E52" i="2" s="1"/>
  <c r="E56" i="2" s="1"/>
  <c r="E62" i="2" s="1"/>
  <c r="G45" i="2" l="1"/>
  <c r="G46" i="2" s="1"/>
  <c r="G50" i="2"/>
  <c r="H43" i="2"/>
  <c r="H55" i="2"/>
  <c r="H42" i="2"/>
  <c r="H44" i="2"/>
  <c r="H53" i="2" s="1"/>
  <c r="H54" i="2"/>
  <c r="F51" i="2"/>
  <c r="F52" i="2" s="1"/>
  <c r="F56" i="2" s="1"/>
  <c r="F62" i="2" s="1"/>
  <c r="H45" i="2" l="1"/>
  <c r="H50" i="2"/>
  <c r="G51" i="2"/>
  <c r="G52" i="2"/>
  <c r="G56" i="2" s="1"/>
  <c r="G62" i="2" s="1"/>
  <c r="H51" i="2" l="1"/>
  <c r="H52" i="2"/>
  <c r="H56" i="2" s="1"/>
  <c r="C68" i="2"/>
  <c r="H46" i="2"/>
  <c r="C67" i="2" l="1"/>
  <c r="C69" i="2" s="1"/>
  <c r="C71" i="2" s="1"/>
  <c r="C75" i="2" s="1"/>
  <c r="C66" i="2"/>
  <c r="H62" i="2"/>
  <c r="C74" i="2" s="1"/>
  <c r="C76" i="2" s="1"/>
  <c r="C78" i="2" s="1"/>
  <c r="C80" i="2" s="1"/>
  <c r="C82" i="2" s="1"/>
</calcChain>
</file>

<file path=xl/sharedStrings.xml><?xml version="1.0" encoding="utf-8"?>
<sst xmlns="http://schemas.openxmlformats.org/spreadsheetml/2006/main" count="154" uniqueCount="130">
  <si>
    <t>ROLLS-ROYCE HOLDINGS PLC</t>
  </si>
  <si>
    <t>Discounted Cash Flow (DCF) Valuation Model</t>
  </si>
  <si>
    <t>FY2024 Annual Report | Educational DCF Model</t>
  </si>
  <si>
    <t>KEY MODEL PARAMETERS</t>
  </si>
  <si>
    <t>Fiscal Year End</t>
  </si>
  <si>
    <t>31 December 2024</t>
  </si>
  <si>
    <t>Currency</t>
  </si>
  <si>
    <t>British Pounds (£m)</t>
  </si>
  <si>
    <t>Valuation Date</t>
  </si>
  <si>
    <t>Projection Period</t>
  </si>
  <si>
    <t>2025E – 2029E (5 years)</t>
  </si>
  <si>
    <t>Discount Rate (WACC)</t>
  </si>
  <si>
    <t>9.0% (see Assumptions)</t>
  </si>
  <si>
    <t>Terminal Growth Rate</t>
  </si>
  <si>
    <t>3.0%</t>
  </si>
  <si>
    <t>EV/EBITDA Exit Multiple</t>
  </si>
  <si>
    <t>10.0x</t>
  </si>
  <si>
    <t>TABLE OF CONTENTS</t>
  </si>
  <si>
    <t xml:space="preserve">  1.  Historical Financials</t>
  </si>
  <si>
    <t>DCF Model</t>
  </si>
  <si>
    <t xml:space="preserve">  2.  Revenue &amp; EBITDA Projections</t>
  </si>
  <si>
    <t xml:space="preserve">  3.  Free Cash Flow Build</t>
  </si>
  <si>
    <t xml:space="preserve">  4.  DCF Valuation &amp; Terminal Value</t>
  </si>
  <si>
    <t xml:space="preserve">  5.  Sensitivity Analysis</t>
  </si>
  <si>
    <t>Sensitivity</t>
  </si>
  <si>
    <t>DISCLAIMER</t>
  </si>
  <si>
    <t>This model is for educational purposes only, built using publicly available information from Rolls-Royce Holdings plc Annual Reports (2020–2024). It does not constitute investment advice. All projections involve significant uncertainty and should not be relied upon for investment decisions.</t>
  </si>
  <si>
    <t>ROLLS-ROYCE HOLDINGS PLC — DCF VALUATION MODEL</t>
  </si>
  <si>
    <t>Based on FY2020–FY2024 Annual Reports  |  5-Year Projection: FY2025E–FY2029E  |  Currency: £m</t>
  </si>
  <si>
    <t xml:space="preserve">  SECTION 1: KEY ASSUMPTIONS  (Blue = inputs you can change)</t>
  </si>
  <si>
    <t>ASSUMPTION</t>
  </si>
  <si>
    <t>VALUE</t>
  </si>
  <si>
    <t>NOTES / SOURCE</t>
  </si>
  <si>
    <t xml:space="preserve">  Tax Rate</t>
  </si>
  <si>
    <t xml:space="preserve">  Approx. Rolls-Royce effective rate</t>
  </si>
  <si>
    <t xml:space="preserve">  WACC (Discount Rate)</t>
  </si>
  <si>
    <t xml:space="preserve">  Weighted Avg Cost of Capital; adjust per risk</t>
  </si>
  <si>
    <t xml:space="preserve">  Terminal Growth Rate</t>
  </si>
  <si>
    <t xml:space="preserve">  Perpetuity growth; ~long-run GDP</t>
  </si>
  <si>
    <t xml:space="preserve">  EV/EBITDA Exit Multiple</t>
  </si>
  <si>
    <t xml:space="preserve">  Used for exit multiple terminal value</t>
  </si>
  <si>
    <t xml:space="preserve">  Revenue Growth – 2025E</t>
  </si>
  <si>
    <t xml:space="preserve">  Conservative post-recovery growth</t>
  </si>
  <si>
    <t xml:space="preserve">  Revenue Growth – 2026E</t>
  </si>
  <si>
    <t xml:space="preserve">  </t>
  </si>
  <si>
    <t xml:space="preserve">  Revenue Growth – 2027E</t>
  </si>
  <si>
    <t xml:space="preserve">  Revenue Growth – 2028E</t>
  </si>
  <si>
    <t xml:space="preserve">  Revenue Growth – 2029E</t>
  </si>
  <si>
    <t xml:space="preserve">  EBIT Margin</t>
  </si>
  <si>
    <t xml:space="preserve">  FY2024 underlying op margin ~13.8%; slight improvement</t>
  </si>
  <si>
    <t xml:space="preserve">  D&amp;A as % of Revenue</t>
  </si>
  <si>
    <t xml:space="preserve">  FY2024: (400+265)/18909 ≈ 3.5%; use ~4.4% incl intangibles</t>
  </si>
  <si>
    <t xml:space="preserve">  Capex as % of Revenue</t>
  </si>
  <si>
    <t xml:space="preserve">  FY2024: (519+367)/18909 ≈ 4.7%</t>
  </si>
  <si>
    <t xml:space="preserve">  Change in NWC as % of Rev</t>
  </si>
  <si>
    <t xml:space="preserve">  Small positive working capital build</t>
  </si>
  <si>
    <t xml:space="preserve">  Net Debt (£m)</t>
  </si>
  <si>
    <t xml:space="preserve">  FY2024: Net Cash £475m (negative debt = net cash)</t>
  </si>
  <si>
    <t xml:space="preserve">  Shares Outstanding (m)</t>
  </si>
  <si>
    <t xml:space="preserve">  Source: FY2024 Annual Report</t>
  </si>
  <si>
    <t xml:space="preserve">  Current Share Price (p)</t>
  </si>
  <si>
    <t xml:space="preserve">  Approximate; update to market price</t>
  </si>
  <si>
    <t xml:space="preserve">  SECTION 2: HISTORICAL FINANCIALS  (Source: Annual Reports 2020–2024)</t>
  </si>
  <si>
    <t>METRIC (£m)</t>
  </si>
  <si>
    <t>FY2020</t>
  </si>
  <si>
    <t>FY2021</t>
  </si>
  <si>
    <t>FY2022</t>
  </si>
  <si>
    <t>FY2023</t>
  </si>
  <si>
    <t>FY2024</t>
  </si>
  <si>
    <t xml:space="preserve">  Revenue</t>
  </si>
  <si>
    <t xml:space="preserve">  Cost of Sales</t>
  </si>
  <si>
    <t xml:space="preserve">  Gross Profit</t>
  </si>
  <si>
    <t xml:space="preserve">  Gross Margin %</t>
  </si>
  <si>
    <t xml:space="preserve">  Operating Profit (EBIT)</t>
  </si>
  <si>
    <t xml:space="preserve">  EBIT (statutory)</t>
  </si>
  <si>
    <t xml:space="preserve">  EBIT Margin %</t>
  </si>
  <si>
    <t xml:space="preserve">  D&amp;A</t>
  </si>
  <si>
    <t xml:space="preserve">  Capital Expenditure</t>
  </si>
  <si>
    <t xml:space="preserve">  EBITDA</t>
  </si>
  <si>
    <t xml:space="preserve">  EBITDA Margin %</t>
  </si>
  <si>
    <t xml:space="preserve">  Free Cash Flow</t>
  </si>
  <si>
    <t xml:space="preserve">  SECTION 3: REVENUE &amp; EBIT PROJECTIONS</t>
  </si>
  <si>
    <t>ITEM (£m)</t>
  </si>
  <si>
    <t>FY2025E</t>
  </si>
  <si>
    <t>FY2026E</t>
  </si>
  <si>
    <t>FY2027E</t>
  </si>
  <si>
    <t>FY2028E</t>
  </si>
  <si>
    <t>FY2029E</t>
  </si>
  <si>
    <t xml:space="preserve">  Revenue Growth %</t>
  </si>
  <si>
    <t xml:space="preserve">  EBIT</t>
  </si>
  <si>
    <t xml:space="preserve">  SECTION 4: FREE CASH FLOW BUILD  (Unlevered / EBIT-based)</t>
  </si>
  <si>
    <t xml:space="preserve">  Less: Cash Taxes</t>
  </si>
  <si>
    <t xml:space="preserve">  NOPAT (Net Operating Profit After Tax)</t>
  </si>
  <si>
    <t xml:space="preserve">  Plus: D&amp;A</t>
  </si>
  <si>
    <t xml:space="preserve">  Less: Capital Expenditure</t>
  </si>
  <si>
    <t xml:space="preserve">  Less: Change in NWC</t>
  </si>
  <si>
    <t xml:space="preserve">  Unlevered Free Cash Flow (UFCF)</t>
  </si>
  <si>
    <t xml:space="preserve">  SECTION 5: DCF VALUATION &amp; TERMINAL VALUE</t>
  </si>
  <si>
    <t>ITEM</t>
  </si>
  <si>
    <t xml:space="preserve">  Period Number</t>
  </si>
  <si>
    <t xml:space="preserve">  Discount Factor</t>
  </si>
  <si>
    <t xml:space="preserve">  Present Value of UFCF</t>
  </si>
  <si>
    <t xml:space="preserve">  SECTION 6: ENTERPRISE VALUE BRIDGE &amp; EQUITY VALUE</t>
  </si>
  <si>
    <t>TERMINAL VALUE</t>
  </si>
  <si>
    <t xml:space="preserve">  Final Year UFCF (FY2029E)</t>
  </si>
  <si>
    <t xml:space="preserve">  Terminal Value – Perpetuity Growth Method</t>
  </si>
  <si>
    <t xml:space="preserve">  Terminal Value – EV/EBITDA Exit Multiple Method</t>
  </si>
  <si>
    <t xml:space="preserve">  Terminal Value Used (Average of Both Methods)</t>
  </si>
  <si>
    <t xml:space="preserve">  Discount Factor for Terminal Value</t>
  </si>
  <si>
    <t xml:space="preserve">  PV of Terminal Value</t>
  </si>
  <si>
    <t>ENTERPRISE VALUE BRIDGE</t>
  </si>
  <si>
    <t xml:space="preserve">  Sum of PV of UFCFs (FY2025E–FY2029E)</t>
  </si>
  <si>
    <t xml:space="preserve">  Plus: PV of Terminal Value</t>
  </si>
  <si>
    <t xml:space="preserve">  Enterprise Value (EV)</t>
  </si>
  <si>
    <t xml:space="preserve">  Less: Net Debt (negative = net cash position)</t>
  </si>
  <si>
    <t xml:space="preserve">  Equity Value</t>
  </si>
  <si>
    <t xml:space="preserve">  Shares Outstanding (millions)</t>
  </si>
  <si>
    <t xml:space="preserve">  Intrinsic Value Per Share (pence)</t>
  </si>
  <si>
    <t xml:space="preserve">  Upside / (Downside) vs Current Price</t>
  </si>
  <si>
    <t>SENSITIVITY ANALYSIS — INTRINSIC VALUE PER SHARE (pence)</t>
  </si>
  <si>
    <t>Table 1: WACC vs Terminal Growth Rate  |  Table 2: WACC vs EBIT Margin</t>
  </si>
  <si>
    <t>TABLE 1: Intrinsic Value Per Share (p) — WACC (rows) vs Terminal Growth Rate (cols)</t>
  </si>
  <si>
    <t>WACC \ TGR</t>
  </si>
  <si>
    <t>TABLE 2: Intrinsic Value Per Share (p) — WACC (rows) vs EBIT Margin (cols)</t>
  </si>
  <si>
    <t>WACC \ EBIT%</t>
  </si>
  <si>
    <t>COLOR LEGEND</t>
  </si>
  <si>
    <t xml:space="preserve">  Green = Intrinsic Value ≥ 800p  (Strong buy signal)</t>
  </si>
  <si>
    <t xml:space="preserve">  Yellow = Intrinsic Value 620p–799p  (Near current price)</t>
  </si>
  <si>
    <t xml:space="preserve">  Red = Intrinsic Value &lt; 620p  (Below current price)</t>
  </si>
  <si>
    <t xml:space="preserve">  Bold cell = Base case assumption (WACC 9%, TGR 3%, EBIT 14.5%)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</si>
</sst>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\-0.0%;\-"/>
    <numFmt numFmtId="165" formatCode="0.0\x"/>
    <numFmt numFmtId="166" formatCode="#,##0;\(#,##0\);\-"/>
    <numFmt numFmtId="167" formatCode="0.0000"/>
    <numFmt numFmtId="168" formatCode="#,##0.0\p"/>
    <numFmt numFmtId="169" formatCode="#,##0\p"/>
  </numFmts>
  <fonts count="28" x14ac:knownFonts="1">
    <font>
      <sz val="11"/>
      <color theme="1"/>
      <name val="Calibri"/>
      <family val="2"/>
      <charset val="1"/>
    </font>
    <font>
      <b/>
      <sz val="28"/>
      <color rgb="FF1F3864"/>
      <name val="Arial"/>
      <charset val="1"/>
    </font>
    <font>
      <sz val="16"/>
      <color rgb="FF2F5496"/>
      <name val="Arial"/>
      <charset val="1"/>
    </font>
    <font>
      <sz val="11"/>
      <color rgb="FF888888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2F5496"/>
      <name val="Arial"/>
      <charset val="1"/>
    </font>
    <font>
      <b/>
      <sz val="9"/>
      <color rgb="FF888888"/>
      <name val="Arial"/>
      <charset val="1"/>
    </font>
    <font>
      <sz val="8"/>
      <color rgb="FFAAAAAA"/>
      <name val="Arial"/>
      <charset val="1"/>
    </font>
    <font>
      <b/>
      <sz val="16"/>
      <color rgb="FFFFFFFF"/>
      <name val="Arial"/>
      <charset val="1"/>
    </font>
    <font>
      <sz val="9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0000FF"/>
      <name val="Arial"/>
      <charset val="1"/>
    </font>
    <font>
      <sz val="9"/>
      <color rgb="FF888888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4"/>
      <color rgb="FFFFFFFF"/>
      <name val="Arial"/>
      <charset val="1"/>
    </font>
    <font>
      <sz val="9"/>
      <color rgb="FF9C0006"/>
      <name val="Arial"/>
      <charset val="1"/>
    </font>
    <font>
      <sz val="9"/>
      <color rgb="FF9C6500"/>
      <name val="Arial"/>
      <charset val="1"/>
    </font>
    <font>
      <sz val="9"/>
      <color rgb="FF276221"/>
      <name val="Arial"/>
      <charset val="1"/>
    </font>
    <font>
      <b/>
      <sz val="9"/>
      <color rgb="FF9C0006"/>
      <name val="Arial"/>
      <charset val="1"/>
    </font>
    <font>
      <b/>
      <sz val="10"/>
      <color rgb="FFFFFFFF"/>
      <name val="Arial"/>
      <charset val="1"/>
    </font>
    <font>
      <sz val="10"/>
      <color rgb="FF276221"/>
      <name val="Arial"/>
      <charset val="1"/>
    </font>
    <font>
      <sz val="10"/>
      <color rgb="FF9C6500"/>
      <name val="Arial"/>
      <charset val="1"/>
    </font>
    <font>
      <sz val="10"/>
      <color rgb="FF9C0006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FFFFFF"/>
        <bgColor rgb="FFEBF3FA"/>
      </patternFill>
    </fill>
    <fill>
      <patternFill patternType="solid">
        <fgColor rgb="FFEBF3FA"/>
        <bgColor rgb="FFFFFFFF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C6EFCE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7" fontId="5" fillId="3" borderId="0" xfId="0" applyNumberFormat="1" applyFont="1" applyFill="1" applyAlignment="1">
      <alignment horizontal="center" vertical="center" wrapText="1"/>
    </xf>
    <xf numFmtId="166" fontId="16" fillId="7" borderId="0" xfId="0" applyNumberFormat="1" applyFont="1" applyFill="1" applyAlignment="1">
      <alignment horizontal="center" vertical="center" wrapText="1"/>
    </xf>
    <xf numFmtId="166" fontId="5" fillId="3" borderId="0" xfId="0" applyNumberFormat="1" applyFont="1" applyFill="1" applyAlignment="1">
      <alignment horizontal="center" vertical="center" wrapText="1"/>
    </xf>
    <xf numFmtId="0" fontId="0" fillId="0" borderId="1" xfId="0" applyBorder="1"/>
    <xf numFmtId="0" fontId="4" fillId="2" borderId="0" xfId="0" applyFont="1" applyFill="1" applyAlignment="1">
      <alignment horizontal="left" vertical="center"/>
    </xf>
    <xf numFmtId="0" fontId="0" fillId="2" borderId="0" xfId="0" applyFill="1"/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/>
    <xf numFmtId="0" fontId="5" fillId="4" borderId="0" xfId="0" applyFont="1" applyFill="1"/>
    <xf numFmtId="0" fontId="6" fillId="4" borderId="0" xfId="0" applyFont="1" applyFill="1"/>
    <xf numFmtId="0" fontId="7" fillId="0" borderId="0" xfId="0" applyFont="1"/>
    <xf numFmtId="0" fontId="12" fillId="5" borderId="0" xfId="0" applyFont="1" applyFill="1" applyAlignment="1">
      <alignment horizontal="center" vertical="center" wrapText="1"/>
    </xf>
    <xf numFmtId="164" fontId="13" fillId="4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164" fontId="13" fillId="6" borderId="0" xfId="0" applyNumberFormat="1" applyFont="1" applyFill="1" applyAlignment="1">
      <alignment horizontal="center" vertical="center" wrapText="1"/>
    </xf>
    <xf numFmtId="165" fontId="13" fillId="3" borderId="0" xfId="0" applyNumberFormat="1" applyFont="1" applyFill="1" applyAlignment="1">
      <alignment horizontal="center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166" fontId="13" fillId="4" borderId="0" xfId="0" applyNumberFormat="1" applyFont="1" applyFill="1" applyAlignment="1">
      <alignment horizontal="center" vertical="center" wrapText="1"/>
    </xf>
    <xf numFmtId="166" fontId="15" fillId="4" borderId="0" xfId="0" applyNumberFormat="1" applyFont="1" applyFill="1" applyAlignment="1">
      <alignment horizontal="center" vertical="center" wrapText="1"/>
    </xf>
    <xf numFmtId="166" fontId="15" fillId="3" borderId="0" xfId="0" applyNumberFormat="1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center"/>
    </xf>
    <xf numFmtId="166" fontId="5" fillId="4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left" vertical="center"/>
    </xf>
    <xf numFmtId="166" fontId="16" fillId="3" borderId="0" xfId="0" applyNumberFormat="1" applyFont="1" applyFill="1" applyAlignment="1">
      <alignment horizontal="center" vertical="center" wrapText="1"/>
    </xf>
    <xf numFmtId="164" fontId="17" fillId="4" borderId="0" xfId="0" applyNumberFormat="1" applyFont="1" applyFill="1" applyAlignment="1">
      <alignment horizontal="center" vertical="center" wrapText="1"/>
    </xf>
    <xf numFmtId="166" fontId="17" fillId="4" borderId="0" xfId="0" applyNumberFormat="1" applyFont="1" applyFill="1" applyAlignment="1">
      <alignment horizontal="center" vertical="center" wrapText="1"/>
    </xf>
    <xf numFmtId="166" fontId="16" fillId="4" borderId="0" xfId="0" applyNumberFormat="1" applyFont="1" applyFill="1" applyAlignment="1">
      <alignment horizontal="center" vertical="center" wrapText="1"/>
    </xf>
    <xf numFmtId="166" fontId="17" fillId="3" borderId="0" xfId="0" applyNumberFormat="1" applyFont="1" applyFill="1" applyAlignment="1">
      <alignment horizontal="center" vertical="center" wrapText="1"/>
    </xf>
    <xf numFmtId="1" fontId="13" fillId="4" borderId="0" xfId="0" applyNumberFormat="1" applyFont="1" applyFill="1" applyAlignment="1">
      <alignment horizontal="center" vertical="center" wrapText="1"/>
    </xf>
    <xf numFmtId="0" fontId="16" fillId="7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164" fontId="12" fillId="2" borderId="0" xfId="0" applyNumberFormat="1" applyFont="1" applyFill="1" applyAlignment="1">
      <alignment horizontal="center" vertical="center" wrapText="1"/>
    </xf>
    <xf numFmtId="169" fontId="20" fillId="8" borderId="0" xfId="0" applyNumberFormat="1" applyFont="1" applyFill="1" applyAlignment="1">
      <alignment horizontal="center" vertical="center" wrapText="1"/>
    </xf>
    <xf numFmtId="169" fontId="21" fillId="9" borderId="0" xfId="0" applyNumberFormat="1" applyFont="1" applyFill="1" applyAlignment="1">
      <alignment horizontal="center" vertical="center" wrapText="1"/>
    </xf>
    <xf numFmtId="169" fontId="22" fillId="10" borderId="0" xfId="0" applyNumberFormat="1" applyFont="1" applyFill="1" applyAlignment="1">
      <alignment horizontal="center" vertical="center" wrapText="1"/>
    </xf>
    <xf numFmtId="169" fontId="23" fillId="8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indent="1"/>
    </xf>
    <xf numFmtId="0" fontId="12" fillId="5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 wrapText="1"/>
    </xf>
    <xf numFmtId="166" fontId="5" fillId="3" borderId="0" xfId="0" applyNumberFormat="1" applyFont="1" applyFill="1" applyAlignment="1">
      <alignment horizontal="center" vertical="center" wrapText="1"/>
    </xf>
    <xf numFmtId="166" fontId="16" fillId="7" borderId="0" xfId="0" applyNumberFormat="1" applyFont="1" applyFill="1" applyAlignment="1">
      <alignment horizontal="center" vertical="center" wrapText="1"/>
    </xf>
    <xf numFmtId="167" fontId="5" fillId="3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18" fillId="4" borderId="0" xfId="0" applyNumberFormat="1" applyFont="1" applyFill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 wrapText="1"/>
    </xf>
    <xf numFmtId="168" fontId="16" fillId="7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8" fillId="0" borderId="0" xfId="0" applyFont="1" applyAlignment="1">
      <alignment vertical="top" wrapText="1"/>
    </xf>
    <xf numFmtId="0" fontId="25" fillId="10" borderId="0" xfId="0" applyFont="1" applyFill="1" applyAlignment="1">
      <alignment horizontal="left" vertical="center"/>
    </xf>
    <xf numFmtId="0" fontId="26" fillId="9" borderId="0" xfId="0" applyFont="1" applyFill="1" applyAlignment="1">
      <alignment horizontal="left" vertical="center"/>
    </xf>
    <xf numFmtId="0" fontId="27" fillId="8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88888"/>
      <rgbColor rgb="FF9999FF"/>
      <rgbColor rgb="FF993366"/>
      <rgbColor rgb="FFFFFFCC"/>
      <rgbColor rgb="FFEBF3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666699"/>
      <rgbColor rgb="FFAAAAAA"/>
      <rgbColor rgb="FF1F3864"/>
      <rgbColor rgb="FF538135"/>
      <rgbColor rgb="FF003300"/>
      <rgbColor rgb="FF333300"/>
      <rgbColor rgb="FF993300"/>
      <rgbColor rgb="FF993366"/>
      <rgbColor rgb="FF2F5496"/>
      <rgbColor rgb="FF2762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3:C28"/>
  <sheetViews>
    <sheetView showGridLines="0" zoomScaleNormal="100" workbookViewId="0">
      <selection activeCell="C13" sqref="C13"/>
    </sheetView>
  </sheetViews>
  <sheetFormatPr defaultColWidth="8.6640625" defaultRowHeight="14.4" x14ac:dyDescent="0.3"/>
  <cols>
    <col min="1" max="1" width="3" customWidth="1"/>
    <col min="2" max="2" width="60" customWidth="1"/>
    <col min="3" max="3" width="30" customWidth="1"/>
  </cols>
  <sheetData>
    <row r="3" spans="2:3" ht="35.4" x14ac:dyDescent="0.3">
      <c r="B3" s="60" t="s">
        <v>0</v>
      </c>
      <c r="C3" s="60"/>
    </row>
    <row r="4" spans="2:3" ht="20.399999999999999" x14ac:dyDescent="0.3">
      <c r="B4" s="61" t="s">
        <v>1</v>
      </c>
      <c r="C4" s="61"/>
    </row>
    <row r="5" spans="2:3" ht="19.5" customHeight="1" x14ac:dyDescent="0.3">
      <c r="B5" s="62" t="s">
        <v>2</v>
      </c>
      <c r="C5" s="62"/>
    </row>
    <row r="6" spans="2:3" x14ac:dyDescent="0.3">
      <c r="B6" s="4"/>
      <c r="C6" s="4"/>
    </row>
    <row r="8" spans="2:3" ht="19.5" customHeight="1" x14ac:dyDescent="0.3">
      <c r="B8" s="5" t="s">
        <v>3</v>
      </c>
      <c r="C8" s="6"/>
    </row>
    <row r="9" spans="2:3" ht="18" customHeight="1" x14ac:dyDescent="0.3">
      <c r="B9" s="7" t="s">
        <v>4</v>
      </c>
      <c r="C9" s="8" t="s">
        <v>5</v>
      </c>
    </row>
    <row r="10" spans="2:3" ht="18" customHeight="1" x14ac:dyDescent="0.3">
      <c r="B10" s="9" t="s">
        <v>6</v>
      </c>
      <c r="C10" s="10" t="s">
        <v>7</v>
      </c>
    </row>
    <row r="11" spans="2:3" ht="18" customHeight="1" x14ac:dyDescent="0.3">
      <c r="B11" s="7" t="s">
        <v>8</v>
      </c>
      <c r="C11" s="8" t="s">
        <v>5</v>
      </c>
    </row>
    <row r="12" spans="2:3" ht="18" customHeight="1" x14ac:dyDescent="0.3">
      <c r="B12" s="9" t="s">
        <v>9</v>
      </c>
      <c r="C12" s="10" t="s">
        <v>10</v>
      </c>
    </row>
    <row r="13" spans="2:3" ht="18" customHeight="1" x14ac:dyDescent="0.3">
      <c r="B13" s="7" t="s">
        <v>11</v>
      </c>
      <c r="C13" s="8" t="s">
        <v>12</v>
      </c>
    </row>
    <row r="14" spans="2:3" ht="18" customHeight="1" x14ac:dyDescent="0.3">
      <c r="B14" s="9" t="s">
        <v>13</v>
      </c>
      <c r="C14" s="10" t="s">
        <v>14</v>
      </c>
    </row>
    <row r="15" spans="2:3" ht="18" customHeight="1" x14ac:dyDescent="0.3">
      <c r="B15" s="7" t="s">
        <v>15</v>
      </c>
      <c r="C15" s="8" t="s">
        <v>16</v>
      </c>
    </row>
    <row r="18" spans="2:3" ht="24" customHeight="1" x14ac:dyDescent="0.3">
      <c r="B18" s="11" t="s">
        <v>17</v>
      </c>
      <c r="C18" s="6"/>
    </row>
    <row r="19" spans="2:3" ht="18" customHeight="1" x14ac:dyDescent="0.3">
      <c r="B19" s="12" t="s">
        <v>18</v>
      </c>
      <c r="C19" s="13" t="s">
        <v>19</v>
      </c>
    </row>
    <row r="20" spans="2:3" ht="18" customHeight="1" x14ac:dyDescent="0.3">
      <c r="B20" s="14" t="s">
        <v>20</v>
      </c>
      <c r="C20" s="15" t="s">
        <v>19</v>
      </c>
    </row>
    <row r="21" spans="2:3" ht="18" customHeight="1" x14ac:dyDescent="0.3">
      <c r="B21" s="12" t="s">
        <v>21</v>
      </c>
      <c r="C21" s="13" t="s">
        <v>19</v>
      </c>
    </row>
    <row r="22" spans="2:3" ht="18" customHeight="1" x14ac:dyDescent="0.3">
      <c r="B22" s="14" t="s">
        <v>22</v>
      </c>
      <c r="C22" s="15" t="s">
        <v>19</v>
      </c>
    </row>
    <row r="23" spans="2:3" ht="18" customHeight="1" x14ac:dyDescent="0.3">
      <c r="B23" s="12" t="s">
        <v>23</v>
      </c>
      <c r="C23" s="13" t="s">
        <v>24</v>
      </c>
    </row>
    <row r="25" spans="2:3" ht="13.5" customHeight="1" x14ac:dyDescent="0.3">
      <c r="B25" s="16" t="s">
        <v>25</v>
      </c>
    </row>
    <row r="26" spans="2:3" ht="15" customHeight="1" x14ac:dyDescent="0.3">
      <c r="B26" s="63" t="s">
        <v>26</v>
      </c>
      <c r="C26" s="63"/>
    </row>
    <row r="27" spans="2:3" x14ac:dyDescent="0.3">
      <c r="B27" s="63"/>
      <c r="C27" s="63"/>
    </row>
    <row r="28" spans="2:3" x14ac:dyDescent="0.3">
      <c r="B28" s="63"/>
      <c r="C28" s="63"/>
    </row>
  </sheetData>
  <mergeCells count="4">
    <mergeCell ref="B3:C3"/>
    <mergeCell ref="B4:C4"/>
    <mergeCell ref="B5:C5"/>
    <mergeCell ref="B26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B1:I83"/>
  <sheetViews>
    <sheetView showGridLines="0" tabSelected="1" topLeftCell="A64" zoomScaleNormal="100" workbookViewId="0">
      <selection activeCell="J67" sqref="J67"/>
    </sheetView>
  </sheetViews>
  <sheetFormatPr defaultColWidth="8.6640625" defaultRowHeight="14.4" x14ac:dyDescent="0.3"/>
  <cols>
    <col min="1" max="1" width="3" customWidth="1"/>
    <col min="2" max="2" width="38" customWidth="1"/>
    <col min="3" max="9" width="14" customWidth="1"/>
    <col min="10" max="10" width="3" customWidth="1"/>
    <col min="11" max="11" width="22" customWidth="1"/>
    <col min="12" max="12" width="16" customWidth="1"/>
  </cols>
  <sheetData>
    <row r="1" spans="2:9" ht="36" customHeight="1" x14ac:dyDescent="0.3">
      <c r="B1" s="46" t="s">
        <v>27</v>
      </c>
      <c r="C1" s="46"/>
      <c r="D1" s="46"/>
      <c r="E1" s="46"/>
      <c r="F1" s="46"/>
      <c r="G1" s="46"/>
      <c r="H1" s="46"/>
      <c r="I1" s="46"/>
    </row>
    <row r="2" spans="2:9" ht="13.5" customHeight="1" x14ac:dyDescent="0.3">
      <c r="B2" s="47" t="s">
        <v>28</v>
      </c>
      <c r="C2" s="47"/>
      <c r="D2" s="47"/>
      <c r="E2" s="47"/>
      <c r="F2" s="47"/>
      <c r="G2" s="47"/>
      <c r="H2" s="47"/>
      <c r="I2" s="47"/>
    </row>
    <row r="4" spans="2:9" ht="21.75" customHeight="1" x14ac:dyDescent="0.3">
      <c r="B4" s="48" t="s">
        <v>29</v>
      </c>
      <c r="C4" s="48"/>
      <c r="D4" s="48"/>
      <c r="E4" s="48"/>
      <c r="F4" s="48"/>
      <c r="G4" s="48"/>
      <c r="H4" s="48"/>
      <c r="I4" s="48"/>
    </row>
    <row r="5" spans="2:9" ht="30" customHeight="1" x14ac:dyDescent="0.3">
      <c r="B5" s="17" t="s">
        <v>30</v>
      </c>
      <c r="C5" s="17" t="s">
        <v>31</v>
      </c>
      <c r="D5" s="49" t="s">
        <v>32</v>
      </c>
      <c r="E5" s="49"/>
      <c r="F5" s="49"/>
      <c r="G5" s="49"/>
      <c r="H5" s="49"/>
      <c r="I5" s="49"/>
    </row>
    <row r="6" spans="2:9" ht="18" customHeight="1" x14ac:dyDescent="0.3">
      <c r="B6" s="9" t="s">
        <v>33</v>
      </c>
      <c r="C6" s="18">
        <v>0.25</v>
      </c>
      <c r="D6" s="50" t="s">
        <v>34</v>
      </c>
      <c r="E6" s="50"/>
      <c r="F6" s="50"/>
      <c r="G6" s="50"/>
      <c r="H6" s="50"/>
      <c r="I6" s="50"/>
    </row>
    <row r="7" spans="2:9" ht="18" customHeight="1" x14ac:dyDescent="0.3">
      <c r="B7" s="7" t="s">
        <v>35</v>
      </c>
      <c r="C7" s="19">
        <v>0.09</v>
      </c>
      <c r="D7" s="51" t="s">
        <v>36</v>
      </c>
      <c r="E7" s="51"/>
      <c r="F7" s="51"/>
      <c r="G7" s="51"/>
      <c r="H7" s="51"/>
      <c r="I7" s="51"/>
    </row>
    <row r="8" spans="2:9" ht="18" customHeight="1" x14ac:dyDescent="0.3">
      <c r="B8" s="9" t="s">
        <v>37</v>
      </c>
      <c r="C8" s="20">
        <v>0.03</v>
      </c>
      <c r="D8" s="50" t="s">
        <v>38</v>
      </c>
      <c r="E8" s="50"/>
      <c r="F8" s="50"/>
      <c r="G8" s="50"/>
      <c r="H8" s="50"/>
      <c r="I8" s="50"/>
    </row>
    <row r="9" spans="2:9" ht="18" customHeight="1" x14ac:dyDescent="0.3">
      <c r="B9" s="7" t="s">
        <v>39</v>
      </c>
      <c r="C9" s="21">
        <v>10</v>
      </c>
      <c r="D9" s="51" t="s">
        <v>40</v>
      </c>
      <c r="E9" s="51"/>
      <c r="F9" s="51"/>
      <c r="G9" s="51"/>
      <c r="H9" s="51"/>
      <c r="I9" s="51"/>
    </row>
    <row r="10" spans="2:9" ht="18" customHeight="1" x14ac:dyDescent="0.3">
      <c r="B10" s="9" t="s">
        <v>41</v>
      </c>
      <c r="C10" s="20">
        <v>0.08</v>
      </c>
      <c r="D10" s="50" t="s">
        <v>42</v>
      </c>
      <c r="E10" s="50"/>
      <c r="F10" s="50"/>
      <c r="G10" s="50"/>
      <c r="H10" s="50"/>
      <c r="I10" s="50"/>
    </row>
    <row r="11" spans="2:9" ht="18" customHeight="1" x14ac:dyDescent="0.3">
      <c r="B11" s="7" t="s">
        <v>43</v>
      </c>
      <c r="C11" s="20">
        <v>7.0000000000000007E-2</v>
      </c>
      <c r="D11" s="51" t="s">
        <v>44</v>
      </c>
      <c r="E11" s="51"/>
      <c r="F11" s="51"/>
      <c r="G11" s="51"/>
      <c r="H11" s="51"/>
      <c r="I11" s="51"/>
    </row>
    <row r="12" spans="2:9" ht="18" customHeight="1" x14ac:dyDescent="0.3">
      <c r="B12" s="9" t="s">
        <v>45</v>
      </c>
      <c r="C12" s="20">
        <v>0.06</v>
      </c>
      <c r="D12" s="50" t="s">
        <v>44</v>
      </c>
      <c r="E12" s="50"/>
      <c r="F12" s="50"/>
      <c r="G12" s="50"/>
      <c r="H12" s="50"/>
      <c r="I12" s="50"/>
    </row>
    <row r="13" spans="2:9" ht="18" customHeight="1" x14ac:dyDescent="0.3">
      <c r="B13" s="7" t="s">
        <v>46</v>
      </c>
      <c r="C13" s="20">
        <v>0.05</v>
      </c>
      <c r="D13" s="51" t="s">
        <v>44</v>
      </c>
      <c r="E13" s="51"/>
      <c r="F13" s="51"/>
      <c r="G13" s="51"/>
      <c r="H13" s="51"/>
      <c r="I13" s="51"/>
    </row>
    <row r="14" spans="2:9" ht="18" customHeight="1" x14ac:dyDescent="0.3">
      <c r="B14" s="9" t="s">
        <v>47</v>
      </c>
      <c r="C14" s="20">
        <v>0.05</v>
      </c>
      <c r="D14" s="50" t="s">
        <v>44</v>
      </c>
      <c r="E14" s="50"/>
      <c r="F14" s="50"/>
      <c r="G14" s="50"/>
      <c r="H14" s="50"/>
      <c r="I14" s="50"/>
    </row>
    <row r="15" spans="2:9" ht="18" customHeight="1" x14ac:dyDescent="0.3">
      <c r="B15" s="7" t="s">
        <v>48</v>
      </c>
      <c r="C15" s="20">
        <v>0.14499999999999999</v>
      </c>
      <c r="D15" s="51" t="s">
        <v>49</v>
      </c>
      <c r="E15" s="51"/>
      <c r="F15" s="51"/>
      <c r="G15" s="51"/>
      <c r="H15" s="51"/>
      <c r="I15" s="51"/>
    </row>
    <row r="16" spans="2:9" ht="18" customHeight="1" x14ac:dyDescent="0.3">
      <c r="B16" s="9" t="s">
        <v>50</v>
      </c>
      <c r="C16" s="20">
        <v>4.3999999999999997E-2</v>
      </c>
      <c r="D16" s="50" t="s">
        <v>51</v>
      </c>
      <c r="E16" s="50"/>
      <c r="F16" s="50"/>
      <c r="G16" s="50"/>
      <c r="H16" s="50"/>
      <c r="I16" s="50"/>
    </row>
    <row r="17" spans="2:9" ht="18" customHeight="1" x14ac:dyDescent="0.3">
      <c r="B17" s="7" t="s">
        <v>52</v>
      </c>
      <c r="C17" s="20">
        <v>4.7E-2</v>
      </c>
      <c r="D17" s="51" t="s">
        <v>53</v>
      </c>
      <c r="E17" s="51"/>
      <c r="F17" s="51"/>
      <c r="G17" s="51"/>
      <c r="H17" s="51"/>
      <c r="I17" s="51"/>
    </row>
    <row r="18" spans="2:9" ht="18" customHeight="1" x14ac:dyDescent="0.3">
      <c r="B18" s="9" t="s">
        <v>54</v>
      </c>
      <c r="C18" s="18">
        <v>5.0000000000000001E-3</v>
      </c>
      <c r="D18" s="50" t="s">
        <v>55</v>
      </c>
      <c r="E18" s="50"/>
      <c r="F18" s="50"/>
      <c r="G18" s="50"/>
      <c r="H18" s="50"/>
      <c r="I18" s="50"/>
    </row>
    <row r="19" spans="2:9" ht="18" customHeight="1" x14ac:dyDescent="0.3">
      <c r="B19" s="7" t="s">
        <v>56</v>
      </c>
      <c r="C19" s="22">
        <v>-475</v>
      </c>
      <c r="D19" s="51" t="s">
        <v>57</v>
      </c>
      <c r="E19" s="51"/>
      <c r="F19" s="51"/>
      <c r="G19" s="51"/>
      <c r="H19" s="51"/>
      <c r="I19" s="51"/>
    </row>
    <row r="20" spans="2:9" ht="18" customHeight="1" x14ac:dyDescent="0.3">
      <c r="B20" s="9" t="s">
        <v>58</v>
      </c>
      <c r="C20" s="23">
        <v>8380</v>
      </c>
      <c r="D20" s="50" t="s">
        <v>59</v>
      </c>
      <c r="E20" s="50"/>
      <c r="F20" s="50"/>
      <c r="G20" s="50"/>
      <c r="H20" s="50"/>
      <c r="I20" s="50"/>
    </row>
    <row r="21" spans="2:9" ht="18" customHeight="1" x14ac:dyDescent="0.3">
      <c r="B21" s="7" t="s">
        <v>60</v>
      </c>
      <c r="C21" s="22">
        <v>620</v>
      </c>
      <c r="D21" s="51" t="s">
        <v>61</v>
      </c>
      <c r="E21" s="51"/>
      <c r="F21" s="51"/>
      <c r="G21" s="51"/>
      <c r="H21" s="51"/>
      <c r="I21" s="51"/>
    </row>
    <row r="22" spans="2:9" ht="7.5" customHeight="1" x14ac:dyDescent="0.3"/>
    <row r="23" spans="2:9" ht="21.75" customHeight="1" x14ac:dyDescent="0.3">
      <c r="B23" s="48" t="s">
        <v>62</v>
      </c>
      <c r="C23" s="48"/>
      <c r="D23" s="48"/>
      <c r="E23" s="48"/>
      <c r="F23" s="48"/>
      <c r="G23" s="48"/>
      <c r="H23" s="48"/>
      <c r="I23" s="48"/>
    </row>
    <row r="24" spans="2:9" ht="30" customHeight="1" x14ac:dyDescent="0.3">
      <c r="B24" s="17" t="s">
        <v>63</v>
      </c>
      <c r="D24" s="17" t="s">
        <v>64</v>
      </c>
      <c r="E24" s="17" t="s">
        <v>65</v>
      </c>
      <c r="F24" s="17" t="s">
        <v>66</v>
      </c>
      <c r="G24" s="17" t="s">
        <v>67</v>
      </c>
      <c r="H24" s="17" t="s">
        <v>68</v>
      </c>
    </row>
    <row r="25" spans="2:9" ht="18" customHeight="1" x14ac:dyDescent="0.3">
      <c r="B25" s="9" t="s">
        <v>69</v>
      </c>
      <c r="D25" s="24">
        <v>11824</v>
      </c>
      <c r="E25" s="24">
        <v>11218</v>
      </c>
      <c r="F25" s="24">
        <v>13520</v>
      </c>
      <c r="G25" s="24">
        <v>16486</v>
      </c>
      <c r="H25" s="24">
        <v>18909</v>
      </c>
    </row>
    <row r="26" spans="2:9" ht="18" customHeight="1" x14ac:dyDescent="0.3">
      <c r="B26" s="7" t="s">
        <v>70</v>
      </c>
      <c r="D26" s="25">
        <v>12034</v>
      </c>
      <c r="E26" s="25">
        <v>9082</v>
      </c>
      <c r="F26" s="25">
        <v>10763</v>
      </c>
      <c r="G26" s="25">
        <v>12866</v>
      </c>
      <c r="H26" s="25">
        <v>14688</v>
      </c>
    </row>
    <row r="27" spans="2:9" ht="18" customHeight="1" x14ac:dyDescent="0.3">
      <c r="B27" s="26" t="s">
        <v>71</v>
      </c>
      <c r="D27" s="27">
        <f>D25-D26</f>
        <v>-210</v>
      </c>
      <c r="E27" s="27">
        <f>E25-E26</f>
        <v>2136</v>
      </c>
      <c r="F27" s="27">
        <f>F25-F26</f>
        <v>2757</v>
      </c>
      <c r="G27" s="27">
        <f>G25-G26</f>
        <v>3620</v>
      </c>
      <c r="H27" s="27">
        <f>H25-H26</f>
        <v>4221</v>
      </c>
    </row>
    <row r="28" spans="2:9" ht="18" customHeight="1" x14ac:dyDescent="0.3">
      <c r="B28" s="7" t="s">
        <v>72</v>
      </c>
      <c r="D28" s="28">
        <f>IF(D25=0,0,D27/D25)</f>
        <v>-1.7760487144790258E-2</v>
      </c>
      <c r="E28" s="28">
        <f>IF(E25=0,0,E27/E25)</f>
        <v>0.19040827241932609</v>
      </c>
      <c r="F28" s="28">
        <f>IF(F25=0,0,F27/F25)</f>
        <v>0.20392011834319526</v>
      </c>
      <c r="G28" s="28">
        <f>IF(G25=0,0,G27/G25)</f>
        <v>0.2195802499090137</v>
      </c>
      <c r="H28" s="28">
        <f>IF(H25=0,0,H27/H25)</f>
        <v>0.22322703474535935</v>
      </c>
    </row>
    <row r="29" spans="2:9" ht="18" hidden="1" customHeight="1" x14ac:dyDescent="0.3">
      <c r="B29" s="9" t="s">
        <v>73</v>
      </c>
      <c r="D29" s="29"/>
      <c r="E29" s="29"/>
      <c r="F29" s="29"/>
      <c r="G29" s="29"/>
      <c r="H29" s="29"/>
    </row>
    <row r="30" spans="2:9" ht="18" customHeight="1" x14ac:dyDescent="0.3">
      <c r="B30" s="7" t="s">
        <v>74</v>
      </c>
      <c r="D30" s="25">
        <v>-2081</v>
      </c>
      <c r="E30" s="25">
        <v>513</v>
      </c>
      <c r="F30" s="25">
        <v>837</v>
      </c>
      <c r="G30" s="25">
        <v>1944</v>
      </c>
      <c r="H30" s="25">
        <v>2906</v>
      </c>
    </row>
    <row r="31" spans="2:9" ht="18" customHeight="1" x14ac:dyDescent="0.3">
      <c r="B31" s="9" t="s">
        <v>75</v>
      </c>
      <c r="D31" s="30">
        <f>IF(D25=0,0,D30/D25)</f>
        <v>-0.1759979702300406</v>
      </c>
      <c r="E31" s="30">
        <f>IF(E25=0,0,E30/E25)</f>
        <v>4.5730076662506683E-2</v>
      </c>
      <c r="F31" s="30">
        <f>IF(F25=0,0,F30/F25)</f>
        <v>6.1908284023668637E-2</v>
      </c>
      <c r="G31" s="30">
        <f>IF(G25=0,0,G30/G25)</f>
        <v>0.11791823365279631</v>
      </c>
      <c r="H31" s="30">
        <f>IF(H25=0,0,H30/H25)</f>
        <v>0.15368343117034217</v>
      </c>
    </row>
    <row r="32" spans="2:9" ht="18" customHeight="1" x14ac:dyDescent="0.3">
      <c r="B32" s="7" t="s">
        <v>76</v>
      </c>
      <c r="D32" s="25">
        <v>2455</v>
      </c>
      <c r="E32" s="25">
        <v>1009</v>
      </c>
      <c r="F32" s="25">
        <v>1004</v>
      </c>
      <c r="G32" s="25">
        <v>1019</v>
      </c>
      <c r="H32" s="25">
        <v>785</v>
      </c>
    </row>
    <row r="33" spans="2:9" ht="18" customHeight="1" x14ac:dyDescent="0.3">
      <c r="B33" s="9" t="s">
        <v>77</v>
      </c>
      <c r="D33" s="24">
        <v>950</v>
      </c>
      <c r="E33" s="24">
        <v>559</v>
      </c>
      <c r="F33" s="24">
        <v>596</v>
      </c>
      <c r="G33" s="24">
        <v>699</v>
      </c>
      <c r="H33" s="24">
        <v>886</v>
      </c>
    </row>
    <row r="34" spans="2:9" ht="18" customHeight="1" x14ac:dyDescent="0.3">
      <c r="B34" s="31" t="s">
        <v>78</v>
      </c>
      <c r="D34" s="32">
        <f>D30+D32</f>
        <v>374</v>
      </c>
      <c r="E34" s="32">
        <f>E30+E32</f>
        <v>1522</v>
      </c>
      <c r="F34" s="32">
        <f>F30+F32</f>
        <v>1841</v>
      </c>
      <c r="G34" s="32">
        <f>G30+G32</f>
        <v>2963</v>
      </c>
      <c r="H34" s="32">
        <f>H30+H32</f>
        <v>3691</v>
      </c>
    </row>
    <row r="35" spans="2:9" ht="18" customHeight="1" x14ac:dyDescent="0.3">
      <c r="B35" s="26" t="s">
        <v>79</v>
      </c>
      <c r="D35" s="30">
        <f>IF(D25=0,0,D34/D25)</f>
        <v>3.163058186738836E-2</v>
      </c>
      <c r="E35" s="30">
        <f>IF(E25=0,0,E34/E25)</f>
        <v>0.13567480834373327</v>
      </c>
      <c r="F35" s="30">
        <f>IF(F25=0,0,F34/F25)</f>
        <v>0.13616863905325444</v>
      </c>
      <c r="G35" s="30">
        <f>IF(G25=0,0,G34/G25)</f>
        <v>0.17972825427635569</v>
      </c>
      <c r="H35" s="30">
        <f>IF(H25=0,0,H34/H25)</f>
        <v>0.19519805383679728</v>
      </c>
    </row>
    <row r="36" spans="2:9" ht="18" customHeight="1" x14ac:dyDescent="0.3">
      <c r="B36" s="31" t="s">
        <v>80</v>
      </c>
      <c r="D36" s="25">
        <v>-4185</v>
      </c>
      <c r="E36" s="25">
        <v>-1433</v>
      </c>
      <c r="F36" s="25">
        <v>491</v>
      </c>
      <c r="G36" s="25">
        <v>1285</v>
      </c>
      <c r="H36" s="25">
        <v>2425</v>
      </c>
    </row>
    <row r="37" spans="2:9" ht="7.5" customHeight="1" x14ac:dyDescent="0.3"/>
    <row r="38" spans="2:9" ht="21.75" customHeight="1" x14ac:dyDescent="0.3">
      <c r="B38" s="48" t="s">
        <v>81</v>
      </c>
      <c r="C38" s="48"/>
      <c r="D38" s="48"/>
      <c r="E38" s="48"/>
      <c r="F38" s="48"/>
      <c r="G38" s="48"/>
      <c r="H38" s="48"/>
      <c r="I38" s="48"/>
    </row>
    <row r="39" spans="2:9" ht="30" customHeight="1" x14ac:dyDescent="0.3">
      <c r="B39" s="17" t="s">
        <v>82</v>
      </c>
      <c r="D39" s="17" t="s">
        <v>83</v>
      </c>
      <c r="E39" s="17" t="s">
        <v>84</v>
      </c>
      <c r="F39" s="17" t="s">
        <v>85</v>
      </c>
      <c r="G39" s="17" t="s">
        <v>86</v>
      </c>
      <c r="H39" s="17" t="s">
        <v>87</v>
      </c>
    </row>
    <row r="40" spans="2:9" ht="18" customHeight="1" x14ac:dyDescent="0.3">
      <c r="B40" s="9" t="s">
        <v>88</v>
      </c>
      <c r="D40" s="33">
        <f>$C$10</f>
        <v>0.08</v>
      </c>
      <c r="E40" s="33">
        <f>$C$11</f>
        <v>7.0000000000000007E-2</v>
      </c>
      <c r="F40" s="33">
        <f>$C$12</f>
        <v>0.06</v>
      </c>
      <c r="G40" s="33">
        <f>$C$13</f>
        <v>0.05</v>
      </c>
      <c r="H40" s="33">
        <f>$C$14</f>
        <v>0.05</v>
      </c>
    </row>
    <row r="41" spans="2:9" ht="18" customHeight="1" x14ac:dyDescent="0.3">
      <c r="B41" s="31" t="s">
        <v>69</v>
      </c>
      <c r="D41" s="32">
        <f>H25*(1+$C$10)</f>
        <v>20421.72</v>
      </c>
      <c r="E41" s="32">
        <f>D41*(1+$C$11)</f>
        <v>21851.240400000002</v>
      </c>
      <c r="F41" s="32">
        <f>E41*(1+$C$12)</f>
        <v>23162.314824000005</v>
      </c>
      <c r="G41" s="32">
        <f>F41*(1+$C$13)</f>
        <v>24320.430565200008</v>
      </c>
      <c r="H41" s="32">
        <f>G41*(1+$C$14)</f>
        <v>25536.452093460008</v>
      </c>
    </row>
    <row r="42" spans="2:9" ht="18" customHeight="1" x14ac:dyDescent="0.3">
      <c r="B42" s="9" t="s">
        <v>89</v>
      </c>
      <c r="D42" s="27">
        <f>D41*$C$15</f>
        <v>2961.1493999999998</v>
      </c>
      <c r="E42" s="27">
        <f>E41*$C$15</f>
        <v>3168.429858</v>
      </c>
      <c r="F42" s="27">
        <f>F41*$C$15</f>
        <v>3358.5356494800003</v>
      </c>
      <c r="G42" s="27">
        <f>G41*$C$15</f>
        <v>3526.4624319540007</v>
      </c>
      <c r="H42" s="27">
        <f>H41*$C$15</f>
        <v>3702.785553551701</v>
      </c>
    </row>
    <row r="43" spans="2:9" ht="18" customHeight="1" x14ac:dyDescent="0.3">
      <c r="B43" s="7" t="s">
        <v>75</v>
      </c>
      <c r="D43" s="28">
        <f>IF(D41=0,0,D42/D41)</f>
        <v>0.14499999999999999</v>
      </c>
      <c r="E43" s="28">
        <f>IF(E41=0,0,E42/E41)</f>
        <v>0.14499999999999999</v>
      </c>
      <c r="F43" s="28">
        <f>IF(F41=0,0,F42/F41)</f>
        <v>0.14499999999999999</v>
      </c>
      <c r="G43" s="28">
        <f>IF(G41=0,0,G42/G41)</f>
        <v>0.14499999999999999</v>
      </c>
      <c r="H43" s="28">
        <f>IF(H41=0,0,H42/H41)</f>
        <v>0.14499999999999999</v>
      </c>
    </row>
    <row r="44" spans="2:9" ht="18" customHeight="1" x14ac:dyDescent="0.3">
      <c r="B44" s="9" t="s">
        <v>76</v>
      </c>
      <c r="D44" s="27">
        <f>D41*$C$16</f>
        <v>898.55568000000005</v>
      </c>
      <c r="E44" s="27">
        <f>E41*$C$16</f>
        <v>961.45457760000011</v>
      </c>
      <c r="F44" s="27">
        <f>F41*$C$16</f>
        <v>1019.1418522560001</v>
      </c>
      <c r="G44" s="27">
        <f>G41*$C$16</f>
        <v>1070.0989448688003</v>
      </c>
      <c r="H44" s="27">
        <f>H41*$C$16</f>
        <v>1123.6038921122404</v>
      </c>
    </row>
    <row r="45" spans="2:9" ht="18" customHeight="1" x14ac:dyDescent="0.3">
      <c r="B45" s="31" t="s">
        <v>78</v>
      </c>
      <c r="D45" s="32">
        <f>D42+D44</f>
        <v>3859.7050799999997</v>
      </c>
      <c r="E45" s="32">
        <f>E42+E44</f>
        <v>4129.8844356</v>
      </c>
      <c r="F45" s="32">
        <f>F42+F44</f>
        <v>4377.6775017360005</v>
      </c>
      <c r="G45" s="32">
        <f>G42+G44</f>
        <v>4596.5613768228013</v>
      </c>
      <c r="H45" s="32">
        <f>H42+H44</f>
        <v>4826.3894456639409</v>
      </c>
    </row>
    <row r="46" spans="2:9" ht="18" customHeight="1" x14ac:dyDescent="0.3">
      <c r="B46" s="9" t="s">
        <v>79</v>
      </c>
      <c r="D46" s="30">
        <f>IF(D41=0,0,D45/D41)</f>
        <v>0.18899999999999997</v>
      </c>
      <c r="E46" s="30">
        <f>IF(E41=0,0,E45/E41)</f>
        <v>0.18899999999999997</v>
      </c>
      <c r="F46" s="30">
        <f>IF(F41=0,0,F45/F41)</f>
        <v>0.18899999999999997</v>
      </c>
      <c r="G46" s="30">
        <f>IF(G41=0,0,G45/G41)</f>
        <v>0.189</v>
      </c>
      <c r="H46" s="30">
        <f>IF(H41=0,0,H45/H41)</f>
        <v>0.18899999999999997</v>
      </c>
    </row>
    <row r="47" spans="2:9" ht="7.5" customHeight="1" x14ac:dyDescent="0.3"/>
    <row r="48" spans="2:9" ht="21.75" customHeight="1" x14ac:dyDescent="0.3">
      <c r="B48" s="48" t="s">
        <v>90</v>
      </c>
      <c r="C48" s="48"/>
      <c r="D48" s="48"/>
      <c r="E48" s="48"/>
      <c r="F48" s="48"/>
      <c r="G48" s="48"/>
      <c r="H48" s="48"/>
      <c r="I48" s="48"/>
    </row>
    <row r="49" spans="2:9" ht="30" customHeight="1" x14ac:dyDescent="0.3">
      <c r="B49" s="17" t="s">
        <v>82</v>
      </c>
      <c r="D49" s="17" t="s">
        <v>83</v>
      </c>
      <c r="E49" s="17" t="s">
        <v>84</v>
      </c>
      <c r="F49" s="17" t="s">
        <v>85</v>
      </c>
      <c r="G49" s="17" t="s">
        <v>86</v>
      </c>
      <c r="H49" s="17" t="s">
        <v>87</v>
      </c>
    </row>
    <row r="50" spans="2:9" ht="18" customHeight="1" x14ac:dyDescent="0.3">
      <c r="B50" s="9" t="s">
        <v>89</v>
      </c>
      <c r="D50" s="34">
        <f>D42</f>
        <v>2961.1493999999998</v>
      </c>
      <c r="E50" s="34">
        <f>E42</f>
        <v>3168.429858</v>
      </c>
      <c r="F50" s="34">
        <f>F42</f>
        <v>3358.5356494800003</v>
      </c>
      <c r="G50" s="34">
        <f>G42</f>
        <v>3526.4624319540007</v>
      </c>
      <c r="H50" s="34">
        <f>H42</f>
        <v>3702.785553551701</v>
      </c>
    </row>
    <row r="51" spans="2:9" ht="18" customHeight="1" x14ac:dyDescent="0.3">
      <c r="B51" s="7" t="s">
        <v>91</v>
      </c>
      <c r="D51" s="3">
        <f>MAX(D50*$C$6,0)</f>
        <v>740.28734999999995</v>
      </c>
      <c r="E51" s="3">
        <f>MAX(E50*$C$6,0)</f>
        <v>792.10746449999999</v>
      </c>
      <c r="F51" s="3">
        <f>MAX(F50*$C$6,0)</f>
        <v>839.63391237000008</v>
      </c>
      <c r="G51" s="3">
        <f>MAX(G50*$C$6,0)</f>
        <v>881.61560798850019</v>
      </c>
      <c r="H51" s="3">
        <f>MAX(H50*$C$6,0)</f>
        <v>925.69638838792525</v>
      </c>
    </row>
    <row r="52" spans="2:9" ht="18" customHeight="1" x14ac:dyDescent="0.3">
      <c r="B52" s="26" t="s">
        <v>92</v>
      </c>
      <c r="D52" s="35">
        <f>D50-D51</f>
        <v>2220.8620499999997</v>
      </c>
      <c r="E52" s="35">
        <f>E50-E51</f>
        <v>2376.3223935000001</v>
      </c>
      <c r="F52" s="35">
        <f>F50-F51</f>
        <v>2518.9017371100003</v>
      </c>
      <c r="G52" s="35">
        <f>G50-G51</f>
        <v>2644.8468239655003</v>
      </c>
      <c r="H52" s="35">
        <f>H50-H51</f>
        <v>2777.0891651637758</v>
      </c>
    </row>
    <row r="53" spans="2:9" ht="18" customHeight="1" x14ac:dyDescent="0.3">
      <c r="B53" s="7" t="s">
        <v>93</v>
      </c>
      <c r="D53" s="36">
        <f>D44</f>
        <v>898.55568000000005</v>
      </c>
      <c r="E53" s="36">
        <f>E44</f>
        <v>961.45457760000011</v>
      </c>
      <c r="F53" s="36">
        <f>F44</f>
        <v>1019.1418522560001</v>
      </c>
      <c r="G53" s="36">
        <f>G44</f>
        <v>1070.0989448688003</v>
      </c>
      <c r="H53" s="36">
        <f>H44</f>
        <v>1123.6038921122404</v>
      </c>
    </row>
    <row r="54" spans="2:9" ht="18" customHeight="1" x14ac:dyDescent="0.3">
      <c r="B54" s="9" t="s">
        <v>94</v>
      </c>
      <c r="D54" s="27">
        <f>D41*$C$17</f>
        <v>959.82084000000009</v>
      </c>
      <c r="E54" s="27">
        <f>E41*$C$17</f>
        <v>1027.0082988000001</v>
      </c>
      <c r="F54" s="27">
        <f>F41*$C$17</f>
        <v>1088.6287967280002</v>
      </c>
      <c r="G54" s="27">
        <f>G41*$C$17</f>
        <v>1143.0602365644004</v>
      </c>
      <c r="H54" s="27">
        <f>H41*$C$17</f>
        <v>1200.2132483926205</v>
      </c>
    </row>
    <row r="55" spans="2:9" ht="18" customHeight="1" x14ac:dyDescent="0.3">
      <c r="B55" s="7" t="s">
        <v>95</v>
      </c>
      <c r="D55" s="3">
        <f>D41*$C$18</f>
        <v>102.10860000000001</v>
      </c>
      <c r="E55" s="3">
        <f>E41*$C$18</f>
        <v>109.25620200000002</v>
      </c>
      <c r="F55" s="3">
        <f>F41*$C$18</f>
        <v>115.81157412000003</v>
      </c>
      <c r="G55" s="3">
        <f>G41*$C$18</f>
        <v>121.60215282600004</v>
      </c>
      <c r="H55" s="3">
        <f>H41*$C$18</f>
        <v>127.68226046730004</v>
      </c>
    </row>
    <row r="56" spans="2:9" ht="18" customHeight="1" x14ac:dyDescent="0.3">
      <c r="B56" s="26" t="s">
        <v>96</v>
      </c>
      <c r="D56" s="2">
        <f>D52+D53-D54-D55</f>
        <v>2057.4882899999998</v>
      </c>
      <c r="E56" s="2">
        <f>E52+E53-E54-E55</f>
        <v>2201.5124702999997</v>
      </c>
      <c r="F56" s="2">
        <f>F52+F53-F54-F55</f>
        <v>2333.6032185180002</v>
      </c>
      <c r="G56" s="2">
        <f>G52+G53-G54-G55</f>
        <v>2450.2833794439007</v>
      </c>
      <c r="H56" s="2">
        <f>H52+H53-H54-H55</f>
        <v>2572.7975484160957</v>
      </c>
    </row>
    <row r="57" spans="2:9" ht="7.5" customHeight="1" x14ac:dyDescent="0.3"/>
    <row r="58" spans="2:9" ht="21.75" customHeight="1" x14ac:dyDescent="0.3">
      <c r="B58" s="48" t="s">
        <v>97</v>
      </c>
      <c r="C58" s="48"/>
      <c r="D58" s="48"/>
      <c r="E58" s="48"/>
      <c r="F58" s="48"/>
      <c r="G58" s="48"/>
      <c r="H58" s="48"/>
      <c r="I58" s="48"/>
    </row>
    <row r="59" spans="2:9" ht="30" customHeight="1" x14ac:dyDescent="0.3">
      <c r="B59" s="17" t="s">
        <v>98</v>
      </c>
      <c r="D59" s="17" t="s">
        <v>83</v>
      </c>
      <c r="E59" s="17" t="s">
        <v>84</v>
      </c>
      <c r="F59" s="17" t="s">
        <v>85</v>
      </c>
      <c r="G59" s="17" t="s">
        <v>86</v>
      </c>
      <c r="H59" s="17" t="s">
        <v>87</v>
      </c>
    </row>
    <row r="60" spans="2:9" ht="18" customHeight="1" x14ac:dyDescent="0.3">
      <c r="B60" s="9" t="s">
        <v>99</v>
      </c>
      <c r="D60" s="37">
        <v>1</v>
      </c>
      <c r="E60" s="37">
        <v>2</v>
      </c>
      <c r="F60" s="37">
        <v>3</v>
      </c>
      <c r="G60" s="37">
        <v>4</v>
      </c>
      <c r="H60" s="37">
        <v>5</v>
      </c>
    </row>
    <row r="61" spans="2:9" ht="18" customHeight="1" x14ac:dyDescent="0.3">
      <c r="B61" s="7" t="s">
        <v>100</v>
      </c>
      <c r="D61" s="1">
        <f>1/((1+$C$7)^D60)</f>
        <v>0.9174311926605504</v>
      </c>
      <c r="E61" s="1">
        <f>1/((1+$C$7)^E60)</f>
        <v>0.84167999326655996</v>
      </c>
      <c r="F61" s="1">
        <f>1/((1+$C$7)^F60)</f>
        <v>0.77218348006106419</v>
      </c>
      <c r="G61" s="1">
        <f>1/((1+$C$7)^G60)</f>
        <v>0.7084252110651964</v>
      </c>
      <c r="H61" s="1">
        <f>1/((1+$C$7)^H60)</f>
        <v>0.64993138629834524</v>
      </c>
    </row>
    <row r="62" spans="2:9" ht="18" customHeight="1" x14ac:dyDescent="0.3">
      <c r="B62" s="26" t="s">
        <v>101</v>
      </c>
      <c r="D62" s="2">
        <f>D56*D61</f>
        <v>1887.6039357798161</v>
      </c>
      <c r="E62" s="2">
        <f>E56*E61</f>
        <v>1852.9690011783514</v>
      </c>
      <c r="F62" s="2">
        <f>F56*F61</f>
        <v>1801.9698543569293</v>
      </c>
      <c r="G62" s="2">
        <f>G56*G61</f>
        <v>1735.842520252088</v>
      </c>
      <c r="H62" s="2">
        <f>H56*H61</f>
        <v>1672.141877307057</v>
      </c>
    </row>
    <row r="63" spans="2:9" ht="7.5" customHeight="1" x14ac:dyDescent="0.3"/>
    <row r="64" spans="2:9" ht="21.75" customHeight="1" x14ac:dyDescent="0.3">
      <c r="B64" s="48" t="s">
        <v>102</v>
      </c>
      <c r="C64" s="48"/>
      <c r="D64" s="48"/>
      <c r="E64" s="48"/>
      <c r="F64" s="48"/>
      <c r="G64" s="48"/>
      <c r="H64" s="48"/>
      <c r="I64" s="48"/>
    </row>
    <row r="65" spans="2:8" ht="18" customHeight="1" x14ac:dyDescent="0.3">
      <c r="B65" s="38" t="s">
        <v>103</v>
      </c>
      <c r="C65" s="52"/>
      <c r="D65" s="52"/>
      <c r="E65" s="52"/>
      <c r="F65" s="52"/>
      <c r="G65" s="52"/>
      <c r="H65" s="52"/>
    </row>
    <row r="66" spans="2:8" ht="18" customHeight="1" x14ac:dyDescent="0.3">
      <c r="B66" s="7" t="s">
        <v>104</v>
      </c>
      <c r="C66" s="53">
        <f>H56</f>
        <v>2572.7975484160957</v>
      </c>
      <c r="D66" s="53"/>
      <c r="E66" s="53"/>
      <c r="F66" s="53"/>
      <c r="G66" s="53"/>
      <c r="H66" s="53"/>
    </row>
    <row r="67" spans="2:8" ht="18" customHeight="1" x14ac:dyDescent="0.3">
      <c r="B67" s="38" t="s">
        <v>105</v>
      </c>
      <c r="C67" s="54">
        <f>(H56*(1+$C$8))/($C$7-$C$8)</f>
        <v>44166.357914476313</v>
      </c>
      <c r="D67" s="54"/>
      <c r="E67" s="54"/>
      <c r="F67" s="54"/>
      <c r="G67" s="54"/>
      <c r="H67" s="54"/>
    </row>
    <row r="68" spans="2:8" ht="18" customHeight="1" x14ac:dyDescent="0.3">
      <c r="B68" s="38" t="s">
        <v>106</v>
      </c>
      <c r="C68" s="54">
        <f>H45*$C$9</f>
        <v>48263.894456639406</v>
      </c>
      <c r="D68" s="54"/>
      <c r="E68" s="54"/>
      <c r="F68" s="54"/>
      <c r="G68" s="54"/>
      <c r="H68" s="54"/>
    </row>
    <row r="69" spans="2:8" ht="18" customHeight="1" x14ac:dyDescent="0.3">
      <c r="B69" s="38" t="s">
        <v>107</v>
      </c>
      <c r="C69" s="54">
        <f>(C67+C68)/2</f>
        <v>46215.126185557863</v>
      </c>
      <c r="D69" s="54"/>
      <c r="E69" s="54"/>
      <c r="F69" s="54"/>
      <c r="G69" s="54"/>
      <c r="H69" s="54"/>
    </row>
    <row r="70" spans="2:8" ht="18" customHeight="1" x14ac:dyDescent="0.3">
      <c r="B70" s="7" t="s">
        <v>108</v>
      </c>
      <c r="C70" s="55">
        <f>1/((1+$C$7)^H60)</f>
        <v>0.64993138629834524</v>
      </c>
      <c r="D70" s="55"/>
      <c r="E70" s="55"/>
      <c r="F70" s="55"/>
      <c r="G70" s="55"/>
      <c r="H70" s="55"/>
    </row>
    <row r="71" spans="2:8" ht="18" customHeight="1" x14ac:dyDescent="0.3">
      <c r="B71" s="38" t="s">
        <v>109</v>
      </c>
      <c r="C71" s="54">
        <f>C69*C70</f>
        <v>30036.661029732579</v>
      </c>
      <c r="D71" s="54"/>
      <c r="E71" s="54"/>
      <c r="F71" s="54"/>
      <c r="G71" s="54"/>
      <c r="H71" s="54"/>
    </row>
    <row r="72" spans="2:8" ht="7.5" customHeight="1" x14ac:dyDescent="0.3"/>
    <row r="73" spans="2:8" ht="19.5" customHeight="1" x14ac:dyDescent="0.3">
      <c r="B73" s="5" t="s">
        <v>110</v>
      </c>
      <c r="C73" s="56"/>
      <c r="D73" s="56"/>
      <c r="E73" s="56"/>
      <c r="F73" s="56"/>
      <c r="G73" s="56"/>
      <c r="H73" s="56"/>
    </row>
    <row r="74" spans="2:8" ht="19.5" customHeight="1" x14ac:dyDescent="0.3">
      <c r="B74" s="7" t="s">
        <v>111</v>
      </c>
      <c r="C74" s="53">
        <f>SUM(D62:H62)</f>
        <v>8950.5271888742409</v>
      </c>
      <c r="D74" s="53"/>
      <c r="E74" s="53"/>
      <c r="F74" s="53"/>
      <c r="G74" s="53"/>
      <c r="H74" s="53"/>
    </row>
    <row r="75" spans="2:8" ht="19.5" customHeight="1" x14ac:dyDescent="0.3">
      <c r="B75" s="7" t="s">
        <v>112</v>
      </c>
      <c r="C75" s="53">
        <f>C71</f>
        <v>30036.661029732579</v>
      </c>
      <c r="D75" s="53"/>
      <c r="E75" s="53"/>
      <c r="F75" s="53"/>
      <c r="G75" s="53"/>
      <c r="H75" s="53"/>
    </row>
    <row r="76" spans="2:8" ht="19.5" customHeight="1" x14ac:dyDescent="0.3">
      <c r="B76" s="38" t="s">
        <v>113</v>
      </c>
      <c r="C76" s="54">
        <f>C74+C75</f>
        <v>38987.188218606818</v>
      </c>
      <c r="D76" s="54"/>
      <c r="E76" s="54"/>
      <c r="F76" s="54"/>
      <c r="G76" s="54"/>
      <c r="H76" s="54"/>
    </row>
    <row r="77" spans="2:8" ht="19.5" customHeight="1" x14ac:dyDescent="0.3">
      <c r="B77" s="7" t="s">
        <v>114</v>
      </c>
      <c r="C77" s="53">
        <f>$C$19</f>
        <v>-475</v>
      </c>
      <c r="D77" s="53"/>
      <c r="E77" s="53"/>
      <c r="F77" s="53"/>
      <c r="G77" s="53"/>
      <c r="H77" s="53"/>
    </row>
    <row r="78" spans="2:8" ht="19.5" customHeight="1" x14ac:dyDescent="0.3">
      <c r="B78" s="38" t="s">
        <v>115</v>
      </c>
      <c r="C78" s="54">
        <f>C76-C77</f>
        <v>39462.188218606818</v>
      </c>
      <c r="D78" s="54"/>
      <c r="E78" s="54"/>
      <c r="F78" s="54"/>
      <c r="G78" s="54"/>
      <c r="H78" s="54"/>
    </row>
    <row r="79" spans="2:8" ht="19.5" customHeight="1" x14ac:dyDescent="0.3">
      <c r="B79" s="7" t="s">
        <v>116</v>
      </c>
      <c r="C79" s="58">
        <f>$C$20</f>
        <v>8380</v>
      </c>
      <c r="D79" s="58"/>
      <c r="E79" s="58"/>
      <c r="F79" s="58"/>
      <c r="G79" s="58"/>
      <c r="H79" s="58"/>
    </row>
    <row r="80" spans="2:8" ht="19.5" customHeight="1" x14ac:dyDescent="0.3">
      <c r="B80" s="38" t="s">
        <v>117</v>
      </c>
      <c r="C80" s="59">
        <f>IF(C79=0,0,(C78/C79)*100)</f>
        <v>470.90916728647755</v>
      </c>
      <c r="D80" s="59"/>
      <c r="E80" s="59"/>
      <c r="F80" s="59"/>
      <c r="G80" s="59"/>
      <c r="H80" s="59"/>
    </row>
    <row r="81" spans="2:8" ht="18" customHeight="1" x14ac:dyDescent="0.3"/>
    <row r="82" spans="2:8" ht="19.5" customHeight="1" x14ac:dyDescent="0.3">
      <c r="B82" s="39" t="s">
        <v>118</v>
      </c>
      <c r="C82" s="57">
        <f>IF($C$21=0,0,(C80-$C$21)/$C$21)</f>
        <v>-0.24046908502181039</v>
      </c>
      <c r="D82" s="57"/>
      <c r="E82" s="57"/>
      <c r="F82" s="57"/>
      <c r="G82" s="57"/>
      <c r="H82" s="57"/>
    </row>
    <row r="83" spans="2:8" ht="18" customHeight="1" x14ac:dyDescent="0.3"/>
  </sheetData>
  <mergeCells count="41">
    <mergeCell ref="C82:H82"/>
    <mergeCell ref="C76:H76"/>
    <mergeCell ref="C77:H77"/>
    <mergeCell ref="C78:H78"/>
    <mergeCell ref="C79:H79"/>
    <mergeCell ref="C80:H80"/>
    <mergeCell ref="C70:H70"/>
    <mergeCell ref="C71:H71"/>
    <mergeCell ref="C73:H73"/>
    <mergeCell ref="C74:H74"/>
    <mergeCell ref="C75:H75"/>
    <mergeCell ref="C65:H65"/>
    <mergeCell ref="C66:H66"/>
    <mergeCell ref="C67:H67"/>
    <mergeCell ref="C68:H68"/>
    <mergeCell ref="C69:H69"/>
    <mergeCell ref="B23:I23"/>
    <mergeCell ref="B38:I38"/>
    <mergeCell ref="B48:I48"/>
    <mergeCell ref="B58:I58"/>
    <mergeCell ref="B64:I64"/>
    <mergeCell ref="D17:I17"/>
    <mergeCell ref="D18:I18"/>
    <mergeCell ref="D19:I19"/>
    <mergeCell ref="D20:I20"/>
    <mergeCell ref="D21:I21"/>
    <mergeCell ref="D12:I12"/>
    <mergeCell ref="D13:I13"/>
    <mergeCell ref="D14:I14"/>
    <mergeCell ref="D15:I15"/>
    <mergeCell ref="D16:I16"/>
    <mergeCell ref="D7:I7"/>
    <mergeCell ref="D8:I8"/>
    <mergeCell ref="D9:I9"/>
    <mergeCell ref="D10:I10"/>
    <mergeCell ref="D11:I11"/>
    <mergeCell ref="B1:I1"/>
    <mergeCell ref="B2:I2"/>
    <mergeCell ref="B4:I4"/>
    <mergeCell ref="D5:I5"/>
    <mergeCell ref="D6:I6"/>
  </mergeCells>
  <pageMargins left="0.75" right="0.75" top="1" bottom="1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38135"/>
  </sheetPr>
  <dimension ref="B1:J26"/>
  <sheetViews>
    <sheetView showGridLines="0" topLeftCell="A6" zoomScaleNormal="100" workbookViewId="0">
      <selection activeCell="C7" sqref="C7"/>
    </sheetView>
  </sheetViews>
  <sheetFormatPr defaultColWidth="8.6640625" defaultRowHeight="14.4" x14ac:dyDescent="0.3"/>
  <cols>
    <col min="1" max="1" width="3" customWidth="1"/>
    <col min="2" max="2" width="28" customWidth="1"/>
    <col min="3" max="7" width="14" customWidth="1"/>
  </cols>
  <sheetData>
    <row r="1" spans="2:10" ht="36" customHeight="1" x14ac:dyDescent="0.3">
      <c r="B1" s="68" t="s">
        <v>119</v>
      </c>
      <c r="C1" s="68"/>
      <c r="D1" s="68"/>
      <c r="E1" s="68"/>
      <c r="F1" s="68"/>
      <c r="G1" s="68"/>
      <c r="H1" s="68"/>
      <c r="I1" s="68"/>
      <c r="J1" s="68"/>
    </row>
    <row r="2" spans="2:10" ht="13.5" customHeight="1" x14ac:dyDescent="0.3">
      <c r="B2" s="47" t="s">
        <v>120</v>
      </c>
      <c r="C2" s="47"/>
      <c r="D2" s="47"/>
      <c r="E2" s="47"/>
      <c r="F2" s="47"/>
      <c r="G2" s="47"/>
      <c r="H2" s="47"/>
      <c r="I2" s="47"/>
      <c r="J2" s="47"/>
    </row>
    <row r="4" spans="2:10" ht="19.5" customHeight="1" x14ac:dyDescent="0.3">
      <c r="B4" s="69" t="s">
        <v>121</v>
      </c>
      <c r="C4" s="69"/>
      <c r="D4" s="69"/>
      <c r="E4" s="69"/>
      <c r="F4" s="69"/>
      <c r="G4" s="69"/>
      <c r="H4" s="69"/>
      <c r="I4" s="69"/>
      <c r="J4" s="69"/>
    </row>
    <row r="5" spans="2:10" x14ac:dyDescent="0.3">
      <c r="B5" s="40" t="s">
        <v>122</v>
      </c>
      <c r="C5" s="41">
        <v>0.01</v>
      </c>
      <c r="D5" s="41">
        <v>0.02</v>
      </c>
      <c r="E5" s="41">
        <v>0.03</v>
      </c>
      <c r="F5" s="41">
        <v>0.04</v>
      </c>
      <c r="G5" s="41">
        <v>0.05</v>
      </c>
    </row>
    <row r="6" spans="2:10" ht="19.5" customHeight="1" x14ac:dyDescent="0.3">
      <c r="B6" s="41">
        <v>7.0000000000000007E-2</v>
      </c>
      <c r="C6" s="42">
        <v>508</v>
      </c>
      <c r="D6" s="42">
        <v>547</v>
      </c>
      <c r="E6" s="42">
        <v>606</v>
      </c>
      <c r="F6" s="43">
        <v>703</v>
      </c>
      <c r="G6" s="44">
        <v>898</v>
      </c>
    </row>
    <row r="7" spans="2:10" ht="19.5" customHeight="1" x14ac:dyDescent="0.3">
      <c r="B7" s="41">
        <v>0.08</v>
      </c>
      <c r="C7" s="42">
        <v>462</v>
      </c>
      <c r="D7" s="42">
        <v>489</v>
      </c>
      <c r="E7" s="42">
        <v>527</v>
      </c>
      <c r="F7" s="42">
        <v>583</v>
      </c>
      <c r="G7" s="43">
        <v>677</v>
      </c>
    </row>
    <row r="8" spans="2:10" ht="19.5" customHeight="1" x14ac:dyDescent="0.3">
      <c r="B8" s="41">
        <v>0.09</v>
      </c>
      <c r="C8" s="42">
        <v>426</v>
      </c>
      <c r="D8" s="42">
        <v>445</v>
      </c>
      <c r="E8" s="45">
        <v>471</v>
      </c>
      <c r="F8" s="42">
        <v>507</v>
      </c>
      <c r="G8" s="42">
        <v>562</v>
      </c>
    </row>
    <row r="9" spans="2:10" ht="19.5" customHeight="1" x14ac:dyDescent="0.3">
      <c r="B9" s="41">
        <v>0.1</v>
      </c>
      <c r="C9" s="42">
        <v>395</v>
      </c>
      <c r="D9" s="42">
        <v>410</v>
      </c>
      <c r="E9" s="42">
        <v>429</v>
      </c>
      <c r="F9" s="42">
        <v>454</v>
      </c>
      <c r="G9" s="42">
        <v>489</v>
      </c>
    </row>
    <row r="10" spans="2:10" ht="19.5" customHeight="1" x14ac:dyDescent="0.3">
      <c r="B10" s="41">
        <v>0.11</v>
      </c>
      <c r="C10" s="42">
        <v>370</v>
      </c>
      <c r="D10" s="42">
        <v>381</v>
      </c>
      <c r="E10" s="42">
        <v>395</v>
      </c>
      <c r="F10" s="42">
        <v>413</v>
      </c>
      <c r="G10" s="42">
        <v>437</v>
      </c>
    </row>
    <row r="12" spans="2:10" ht="7.5" customHeight="1" x14ac:dyDescent="0.3"/>
    <row r="13" spans="2:10" ht="19.5" customHeight="1" x14ac:dyDescent="0.3">
      <c r="B13" s="69" t="s">
        <v>123</v>
      </c>
      <c r="C13" s="69"/>
      <c r="D13" s="69"/>
      <c r="E13" s="69"/>
      <c r="F13" s="69"/>
      <c r="G13" s="69"/>
      <c r="H13" s="69"/>
      <c r="I13" s="69"/>
      <c r="J13" s="69"/>
    </row>
    <row r="14" spans="2:10" x14ac:dyDescent="0.3">
      <c r="B14" s="40" t="s">
        <v>124</v>
      </c>
      <c r="C14" s="41">
        <v>0.1</v>
      </c>
      <c r="D14" s="41">
        <v>0.12</v>
      </c>
      <c r="E14" s="41">
        <v>0.14499999999999999</v>
      </c>
      <c r="F14" s="41">
        <v>0.17</v>
      </c>
      <c r="G14" s="41">
        <v>0.2</v>
      </c>
    </row>
    <row r="15" spans="2:10" ht="19.5" customHeight="1" x14ac:dyDescent="0.3">
      <c r="B15" s="41">
        <v>7.0000000000000007E-2</v>
      </c>
      <c r="C15" s="42">
        <v>425</v>
      </c>
      <c r="D15" s="42">
        <v>505</v>
      </c>
      <c r="E15" s="42">
        <v>606</v>
      </c>
      <c r="F15" s="43">
        <v>706</v>
      </c>
      <c r="G15" s="44">
        <v>827</v>
      </c>
    </row>
    <row r="16" spans="2:10" ht="19.5" customHeight="1" x14ac:dyDescent="0.3">
      <c r="B16" s="41">
        <v>0.08</v>
      </c>
      <c r="C16" s="42">
        <v>371</v>
      </c>
      <c r="D16" s="42">
        <v>440</v>
      </c>
      <c r="E16" s="42">
        <v>527</v>
      </c>
      <c r="F16" s="42">
        <v>613</v>
      </c>
      <c r="G16" s="43">
        <v>717</v>
      </c>
    </row>
    <row r="17" spans="2:10" ht="19.5" customHeight="1" x14ac:dyDescent="0.3">
      <c r="B17" s="41">
        <v>0.09</v>
      </c>
      <c r="C17" s="42">
        <v>333</v>
      </c>
      <c r="D17" s="42">
        <v>394</v>
      </c>
      <c r="E17" s="45">
        <v>471</v>
      </c>
      <c r="F17" s="42">
        <v>547</v>
      </c>
      <c r="G17" s="43">
        <v>639</v>
      </c>
    </row>
    <row r="18" spans="2:10" ht="19.5" customHeight="1" x14ac:dyDescent="0.3">
      <c r="B18" s="41">
        <v>0.1</v>
      </c>
      <c r="C18" s="42">
        <v>304</v>
      </c>
      <c r="D18" s="42">
        <v>360</v>
      </c>
      <c r="E18" s="42">
        <v>429</v>
      </c>
      <c r="F18" s="42">
        <v>498</v>
      </c>
      <c r="G18" s="42">
        <v>581</v>
      </c>
    </row>
    <row r="19" spans="2:10" ht="19.5" customHeight="1" x14ac:dyDescent="0.3">
      <c r="B19" s="41">
        <v>0.11</v>
      </c>
      <c r="C19" s="42">
        <v>281</v>
      </c>
      <c r="D19" s="42">
        <v>332</v>
      </c>
      <c r="E19" s="42">
        <v>395</v>
      </c>
      <c r="F19" s="42">
        <v>458</v>
      </c>
      <c r="G19" s="42">
        <v>534</v>
      </c>
    </row>
    <row r="21" spans="2:10" ht="7.5" customHeight="1" x14ac:dyDescent="0.3"/>
    <row r="22" spans="2:10" ht="18" customHeight="1" x14ac:dyDescent="0.3">
      <c r="B22" s="70" t="s">
        <v>125</v>
      </c>
      <c r="C22" s="70"/>
      <c r="D22" s="70"/>
      <c r="E22" s="70"/>
      <c r="F22" s="70"/>
      <c r="G22" s="70"/>
      <c r="H22" s="70"/>
      <c r="I22" s="70"/>
      <c r="J22" s="70"/>
    </row>
    <row r="23" spans="2:10" ht="18" customHeight="1" x14ac:dyDescent="0.3">
      <c r="B23" s="64" t="s">
        <v>126</v>
      </c>
      <c r="C23" s="64"/>
      <c r="D23" s="64"/>
      <c r="E23" s="64"/>
      <c r="F23" s="64"/>
      <c r="G23" s="64"/>
      <c r="H23" s="64"/>
      <c r="I23" s="64"/>
      <c r="J23" s="64"/>
    </row>
    <row r="24" spans="2:10" ht="18" customHeight="1" x14ac:dyDescent="0.3">
      <c r="B24" s="65" t="s">
        <v>127</v>
      </c>
      <c r="C24" s="65"/>
      <c r="D24" s="65"/>
      <c r="E24" s="65"/>
      <c r="F24" s="65"/>
      <c r="G24" s="65"/>
      <c r="H24" s="65"/>
      <c r="I24" s="65"/>
      <c r="J24" s="65"/>
    </row>
    <row r="25" spans="2:10" ht="18" customHeight="1" x14ac:dyDescent="0.3">
      <c r="B25" s="66" t="s">
        <v>128</v>
      </c>
      <c r="C25" s="66"/>
      <c r="D25" s="66"/>
      <c r="E25" s="66"/>
      <c r="F25" s="66"/>
      <c r="G25" s="66"/>
      <c r="H25" s="66"/>
      <c r="I25" s="66"/>
      <c r="J25" s="66"/>
    </row>
    <row r="26" spans="2:10" ht="18" customHeight="1" x14ac:dyDescent="0.3">
      <c r="B26" s="67" t="s">
        <v>129</v>
      </c>
      <c r="C26" s="67"/>
      <c r="D26" s="67"/>
      <c r="E26" s="67"/>
      <c r="F26" s="67"/>
      <c r="G26" s="67"/>
      <c r="H26" s="67"/>
      <c r="I26" s="67"/>
      <c r="J26" s="67"/>
    </row>
  </sheetData>
  <mergeCells count="9">
    <mergeCell ref="B23:J23"/>
    <mergeCell ref="B24:J24"/>
    <mergeCell ref="B25:J25"/>
    <mergeCell ref="B26:J26"/>
    <mergeCell ref="B1:J1"/>
    <mergeCell ref="B2:J2"/>
    <mergeCell ref="B4:J4"/>
    <mergeCell ref="B13:J13"/>
    <mergeCell ref="B22:J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DCF Model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R Khalthang</cp:lastModifiedBy>
  <cp:revision>0</cp:revision>
  <cp:lastPrinted>2026-03-03T21:03:21Z</cp:lastPrinted>
  <dcterms:created xsi:type="dcterms:W3CDTF">2026-03-03T20:32:43Z</dcterms:created>
  <dcterms:modified xsi:type="dcterms:W3CDTF">2026-03-12T13:31:14Z</dcterms:modified>
  <dc:language>en-US</dc:language>
</cp:coreProperties>
</file>